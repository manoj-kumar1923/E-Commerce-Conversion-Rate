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Dashboard" sheetId="2" state="visible" r:id="rId4"/>
    <sheet name="Funnel Analysis" sheetId="3" state="visible" r:id="rId5"/>
    <sheet name="Channel Breakdown" sheetId="4" state="visible" r:id="rId6"/>
    <sheet name="Insights &amp; Ac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<sst xmlns="http://schemas.openxmlformats.org/spreadsheetml/2006/main" count="90" uniqueCount="79">
  <si>
    <t xml:space="preserve">E-COMMERCE CONVERSION RATE TRACKER — FY 2024</t>
  </si>
  <si>
    <t xml:space="preserve">Monthly funnel data: Traffic → Sessions → Add-to-Cart → Checkout → Purchase</t>
  </si>
  <si>
    <t xml:space="preserve">Month</t>
  </si>
  <si>
    <t xml:space="preserve">Total Visitors</t>
  </si>
  <si>
    <t xml:space="preserve">Sessions</t>
  </si>
  <si>
    <t xml:space="preserve">Add-to-Cart</t>
  </si>
  <si>
    <t xml:space="preserve">Checkouts</t>
  </si>
  <si>
    <t xml:space="preserve">Orders</t>
  </si>
  <si>
    <t xml:space="preserve">Revenue ($)</t>
  </si>
  <si>
    <t xml:space="preserve">Avg Order Value</t>
  </si>
  <si>
    <t xml:space="preserve">Session→Cart %</t>
  </si>
  <si>
    <t xml:space="preserve">Cart→Checkout %</t>
  </si>
  <si>
    <t xml:space="preserve">Overall CVR %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</si>
  <si>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</si>
  <si>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</si>
  <si>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</si>
  <si>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</si>
  <si>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</si>
  <si>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</si>
  <si>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</si>
  <si>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</si>
  <si>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</si>
  <si>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</si>
  <si>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</si>
  <si>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</si>
  <si>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 TOTAL / AVG</t>
  </si>
  <si>
    <t xml:space="preserve">🛒  E-COMMERCE CONVERSION RATE DASHBOARD</t>
  </si>
  <si>
    <t xml:space="preserve">FY 2024  |  Funnel Performance  |  Key Metrics at a Glance</t>
  </si>
  <si>
    <t xml:space="preserve">Total Orders</t>
  </si>
  <si>
    <t xml:space="preserve">Total Revenue</t>
  </si>
  <si>
    <t xml:space="preserve">Overall CVR</t>
  </si>
  <si>
    <t xml:space="preserve">CONVERSION FUNNEL ANALYSIS — STAGE DROP-OFF</t>
  </si>
  <si>
    <t xml:space="preserve">How many users drop off at each stage of the purchase journey</t>
  </si>
  <si>
    <t xml:space="preserve">Stage</t>
  </si>
  <si>
    <t xml:space="preserve">Avg Users (Annual)</t>
  </si>
  <si>
    <t xml:space="preserve">Drop-Off Users</t>
  </si>
  <si>
    <t xml:space="preserve">Drop-Off %</t>
  </si>
  <si>
    <t xml:space="preserve">Retained %</t>
  </si>
  <si>
    <t xml:space="preserve">Benchmark %</t>
  </si>
  <si>
    <t xml:space="preserve">Status</t>
  </si>
  <si>
    <t xml:space="preserve">—</t>
  </si>
  <si>
    <t xml:space="preserve">100%</t>
  </si>
  <si>
    <t xml:space="preserve">Baseline</t>
  </si>
  <si>
    <t xml:space="preserve">97%</t>
  </si>
  <si>
    <t xml:space="preserve">25%</t>
  </si>
  <si>
    <t xml:space="preserve">Checkout</t>
  </si>
  <si>
    <t xml:space="preserve">13%</t>
  </si>
  <si>
    <t xml:space="preserve">5.5%</t>
  </si>
  <si>
    <t xml:space="preserve">CONVERSION RATE BY TRAFFIC CHANNEL</t>
  </si>
  <si>
    <t xml:space="preserve">Annual aggregated performance by acquisition channel — replace with your actual channel data</t>
  </si>
  <si>
    <t xml:space="preserve">Channel</t>
  </si>
  <si>
    <t xml:space="preserve">Visitors</t>
  </si>
  <si>
    <t xml:space="preserve">CVR %</t>
  </si>
  <si>
    <t xml:space="preserve">Avg Order ($)</t>
  </si>
  <si>
    <t xml:space="preserve">Revenue Share %</t>
  </si>
  <si>
    <t xml:space="preserve">Organic Search</t>
  </si>
  <si>
    <t xml:space="preserve">Paid Search</t>
  </si>
  <si>
    <t xml:space="preserve">Email</t>
  </si>
  <si>
    <t xml:space="preserve">Direct</t>
  </si>
  <si>
    <t xml:space="preserve">Social Media</t>
  </si>
  <si>
    <t xml:space="preserve">Referral</t>
  </si>
  <si>
    <t xml:space="preserve">Display Ads</t>
  </si>
  <si>
    <t xml:space="preserve">TOTAL</t>
  </si>
  <si>
    <t xml:space="preserve">100.0%</t>
  </si>
  <si>
    <t xml:space="preserve">INSIGHTS &amp; OPTIMIZATION RECOMMENDATIONS</t>
  </si>
  <si>
    <t xml:space="preserve">📈 CVR Growth</t>
  </si>
  <si>
    <t xml:space="preserve">Nov–Dec saw CVR spike to 8.3%–10%. Holiday campaigns significantly boosted purchase intent — replicate seasonal urgency tactics year-round.</t>
  </si>
  <si>
    <t xml:space="preserve">⚠️ Cart Abandonment</t>
  </si>
  <si>
    <t xml:space="preserve">60% of users who add to cart don't reach checkout. Implement cart abandonment email sequences (send within 1 hr, 24 hr, 72 hr) with discount incentive.</t>
  </si>
  <si>
    <t xml:space="preserve">🔍 Best Channel</t>
  </si>
  <si>
    <t xml:space="preserve">Organic Search drives the highest revenue share (30%) and a strong CVR of 10.5%. Invest more in SEO content and blog-to-product linking.</t>
  </si>
  <si>
    <t xml:space="preserve">📉 Weakest Channel</t>
  </si>
  <si>
    <t xml:space="preserve">Display Ads deliver only 4.0% of revenue with a 4.0% CVR. Audit display creatives and landing page relevance; consider reallocating budget.</t>
  </si>
  <si>
    <t xml:space="preserve">💳 AOV Opportunity</t>
  </si>
  <si>
    <t xml:space="preserve">Avg Order Value is $40. Introduce upsell bundles, free shipping thresholds at $50+, and product recommendation carousels on checkout page.</t>
  </si>
  <si>
    <t xml:space="preserve">✅ Q1 Dip Recovery</t>
  </si>
  <si>
    <t xml:space="preserve">Jan–Mar shows a seasonal dip in CVR. Plan a New Year sale event in Jan and a Valentine's Day promotion in Feb to maintain conversion momentum.</t>
  </si>
  <si>
    <t xml:space="preserve">📧 Email Performance</t>
  </si>
  <si>
    <t xml:space="preserve">Email channel converts at 15.2% — the highest of all channels. Grow email list with lead magnets and increase send frequency during peak periods.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</si>
</sst>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$#,##0"/>
    <numFmt numFmtId="167" formatCode="\$#,##0.00"/>
    <numFmt numFmtId="168" formatCode="0.00%"/>
    <numFmt numFmtId="169" formatCode="#,##0.0"/>
    <numFmt numFmtId="170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1565C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D2137"/>
      <name val="Arial"/>
      <family val="0"/>
      <charset val="1"/>
    </font>
    <font>
      <sz val="10"/>
      <color rgb="FF0D2137"/>
      <name val="Arial"/>
      <family val="0"/>
      <charset val="1"/>
    </font>
    <font>
      <sz val="10"/>
      <color rgb="FF00796B"/>
      <name val="Arial"/>
      <family val="0"/>
      <charset val="1"/>
    </font>
    <font>
      <sz val="10"/>
      <color rgb="FF6A1B9A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6"/>
      <color rgb="FF0D2137"/>
      <name val="Arial"/>
      <family val="0"/>
      <charset val="1"/>
    </font>
    <font>
      <b val="true"/>
      <sz val="16"/>
      <color rgb="FF00796B"/>
      <name val="Arial"/>
      <family val="0"/>
      <charset val="1"/>
    </font>
    <font>
      <b val="true"/>
      <sz val="16"/>
      <color rgb="FF2E7D32"/>
      <name val="Arial"/>
      <family val="0"/>
      <charset val="1"/>
    </font>
    <font>
      <b val="true"/>
      <sz val="16"/>
      <color rgb="FF1565C0"/>
      <name val="Arial"/>
      <family val="0"/>
      <charset val="1"/>
    </font>
    <font>
      <b val="true"/>
      <sz val="16"/>
      <color rgb="FFE651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sz val="10"/>
      <color rgb="FFC62828"/>
      <name val="Arial"/>
      <family val="0"/>
      <charset val="1"/>
    </font>
    <font>
      <sz val="10"/>
      <color rgb="FF2E7D32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2137"/>
        <bgColor rgb="FF003300"/>
      </patternFill>
    </fill>
    <fill>
      <patternFill patternType="solid">
        <fgColor rgb="FFE3F2FD"/>
        <bgColor rgb="FFF9F9F9"/>
      </patternFill>
    </fill>
    <fill>
      <patternFill patternType="solid">
        <fgColor rgb="FF1565C0"/>
        <bgColor rgb="FF3366FF"/>
      </patternFill>
    </fill>
    <fill>
      <patternFill patternType="solid">
        <fgColor rgb="FFFFFFFF"/>
        <bgColor rgb="FFF9F9F9"/>
      </patternFill>
    </fill>
    <fill>
      <patternFill patternType="solid">
        <fgColor rgb="FFF57F17"/>
        <bgColor rgb="FFFF8080"/>
      </patternFill>
    </fill>
    <fill>
      <patternFill patternType="solid">
        <fgColor rgb="FF00796B"/>
        <bgColor rgb="FF008080"/>
      </patternFill>
    </fill>
    <fill>
      <patternFill patternType="solid">
        <fgColor rgb="FF2E7D32"/>
        <bgColor rgb="FF008000"/>
      </patternFill>
    </fill>
    <fill>
      <patternFill patternType="solid">
        <fgColor rgb="FFE65100"/>
        <bgColor rgb="FFF57F17"/>
      </patternFill>
    </fill>
    <fill>
      <patternFill patternType="solid">
        <fgColor rgb="FFC62828"/>
        <bgColor rgb="FF993366"/>
      </patternFill>
    </fill>
    <fill>
      <patternFill patternType="solid">
        <fgColor rgb="FF6A1B9A"/>
        <bgColor rgb="FF800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FD8DC"/>
      </left>
      <right/>
      <top style="thin">
        <color rgb="FFCFD8DC"/>
      </top>
      <bottom style="thin">
        <color rgb="FFCFD8DC"/>
      </bottom>
      <diagonal/>
    </border>
    <border diagonalUp="false" diagonalDown="false"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796B"/>
      <rgbColor rgb="FFD9D9D9"/>
      <rgbColor rgb="FF878787"/>
      <rgbColor rgb="FF9999FF"/>
      <rgbColor rgb="FF993366"/>
      <rgbColor rgb="FFF9F9F9"/>
      <rgbColor rgb="FFE3F2FD"/>
      <rgbColor rgb="FF660066"/>
      <rgbColor rgb="FFFF8080"/>
      <rgbColor rgb="FF1565C0"/>
      <rgbColor rgb="FFCF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7F17"/>
      <rgbColor rgb="FFE65100"/>
      <rgbColor rgb="FF666699"/>
      <rgbColor rgb="FF969696"/>
      <rgbColor rgb="FF0D2137"/>
      <rgbColor rgb="FF2E7D32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Overall Conversion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'Raw Data'!K4</c:f>
              <c:strCache>
                <c:ptCount val="1"/>
                <c:pt idx="0">
                  <c:v>Overall CVR %</c:v>
                </c:pt>
              </c:strCache>
            </c:strRef>
          </c:tx>
          <c:spPr>
            <a:solidFill>
              <a:srgbClr val="e65100"/>
            </a:solidFill>
            <a:ln w="28080">
              <a:solidFill>
                <a:srgbClr val="e65100"/>
              </a:solidFill>
              <a:round/>
            </a:ln>
          </c:spPr>
          <c:marker>
            <c:symbol val="circle"/>
            <c:size val="6"/>
            <c:spPr>
              <a:solidFill>
                <a:srgbClr val="e651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Data'!$K$5:$K$16</c:f>
              <c:numCache>
                <c:formatCode>0.00%</c:formatCode>
                <c:ptCount val="12"/>
                <c:pt idx="0">
                  <c:v>0.063</c:v>
                </c:pt>
                <c:pt idx="1">
                  <c:v>0.0660992366412214</c:v>
                </c:pt>
                <c:pt idx="2">
                  <c:v>0.0628813559322034</c:v>
                </c:pt>
                <c:pt idx="3">
                  <c:v>0.0662535211267606</c:v>
                </c:pt>
                <c:pt idx="4">
                  <c:v>0.0694193548387097</c:v>
                </c:pt>
                <c:pt idx="5">
                  <c:v>0.0709761904761905</c:v>
                </c:pt>
                <c:pt idx="6">
                  <c:v>0.0730581395348837</c:v>
                </c:pt>
                <c:pt idx="7">
                  <c:v>0.072888198757764</c:v>
                </c:pt>
                <c:pt idx="8">
                  <c:v>0.0731910112359551</c:v>
                </c:pt>
                <c:pt idx="9">
                  <c:v>0.0746307692307692</c:v>
                </c:pt>
                <c:pt idx="10">
                  <c:v>0.0831818181818182</c:v>
                </c:pt>
                <c:pt idx="11">
                  <c:v>0.10009756097561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4550878"/>
        <c:axId val="82381409"/>
      </c:lineChart>
      <c:catAx>
        <c:axId val="545508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81409"/>
        <c:crosses val="autoZero"/>
        <c:auto val="1"/>
        <c:lblAlgn val="ctr"/>
        <c:lblOffset val="100"/>
        <c:noMultiLvlLbl val="0"/>
      </c:catAx>
      <c:valAx>
        <c:axId val="823814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CVR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508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'Raw Data'!G4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00796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Data'!$G$5:$G$16</c:f>
              <c:numCache>
                <c:formatCode>\$#,##0</c:formatCode>
                <c:ptCount val="12"/>
                <c:pt idx="0">
                  <c:v>312480</c:v>
                </c:pt>
                <c:pt idx="1">
                  <c:v>346360</c:v>
                </c:pt>
                <c:pt idx="2">
                  <c:v>296800</c:v>
                </c:pt>
                <c:pt idx="3">
                  <c:v>376320</c:v>
                </c:pt>
                <c:pt idx="4">
                  <c:v>430400</c:v>
                </c:pt>
                <c:pt idx="5">
                  <c:v>476960</c:v>
                </c:pt>
                <c:pt idx="6">
                  <c:v>502640</c:v>
                </c:pt>
                <c:pt idx="7">
                  <c:v>469400</c:v>
                </c:pt>
                <c:pt idx="8">
                  <c:v>521120</c:v>
                </c:pt>
                <c:pt idx="9">
                  <c:v>582120</c:v>
                </c:pt>
                <c:pt idx="10">
                  <c:v>768600</c:v>
                </c:pt>
                <c:pt idx="11">
                  <c:v>1149120</c:v>
                </c:pt>
              </c:numCache>
            </c:numRef>
          </c:val>
        </c:ser>
        <c:gapWidth val="150"/>
        <c:overlap val="0"/>
        <c:axId val="47813078"/>
        <c:axId val="78939672"/>
      </c:barChart>
      <c:catAx>
        <c:axId val="478130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39672"/>
        <c:crosses val="autoZero"/>
        <c:auto val="1"/>
        <c:lblAlgn val="ctr"/>
        <c:lblOffset val="100"/>
        <c:noMultiLvlLbl val="0"/>
      </c:catAx>
      <c:valAx>
        <c:axId val="789396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130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Funnel Stage Conversion Rates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'Raw Data'!I4</c:f>
              <c:strCache>
                <c:ptCount val="1"/>
                <c:pt idx="0">
                  <c:v>Session→Cart %</c:v>
                </c:pt>
              </c:strCache>
            </c:strRef>
          </c:tx>
          <c:spPr>
            <a:solidFill>
              <a:srgbClr val="00796b"/>
            </a:solidFill>
            <a:ln w="21960">
              <a:solidFill>
                <a:srgbClr val="00796b"/>
              </a:solidFill>
              <a:round/>
            </a:ln>
          </c:spPr>
          <c:marker>
            <c:symbol val="diamond"/>
            <c:size val="5"/>
            <c:spPr>
              <a:solidFill>
                <a:srgbClr val="00796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Data'!$I$5:$I$16</c:f>
              <c:numCache>
                <c:formatCode>0.00%</c:formatCode>
                <c:ptCount val="12"/>
                <c:pt idx="0">
                  <c:v>0.189795918367347</c:v>
                </c:pt>
                <c:pt idx="1">
                  <c:v>0.195</c:v>
                </c:pt>
                <c:pt idx="2">
                  <c:v>0.19</c:v>
                </c:pt>
                <c:pt idx="3">
                  <c:v>0.2</c:v>
                </c:pt>
                <c:pt idx="4">
                  <c:v>0.21</c:v>
                </c:pt>
                <c:pt idx="5">
                  <c:v>0.213458646616541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0.225</c:v>
                </c:pt>
                <c:pt idx="10">
                  <c:v>0.25</c:v>
                </c:pt>
                <c:pt idx="11">
                  <c:v>0.3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'Raw Data'!J4</c:f>
              <c:strCache>
                <c:ptCount val="1"/>
                <c:pt idx="0">
                  <c:v>Cart→Checkout %</c:v>
                </c:pt>
              </c:strCache>
            </c:strRef>
          </c:tx>
          <c:spPr>
            <a:solidFill>
              <a:srgbClr val="6a1b9a"/>
            </a:solidFill>
            <a:ln w="21960">
              <a:solidFill>
                <a:srgbClr val="6a1b9a"/>
              </a:solidFill>
              <a:round/>
            </a:ln>
          </c:spPr>
          <c:marker>
            <c:symbol val="diamond"/>
            <c:size val="5"/>
            <c:spPr>
              <a:solidFill>
                <a:srgbClr val="6a1b9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Data'!$J$5:$J$16</c:f>
              <c:numCache>
                <c:formatCode>0.00%</c:formatCode>
                <c:ptCount val="12"/>
                <c:pt idx="0">
                  <c:v>0.6</c:v>
                </c:pt>
                <c:pt idx="1">
                  <c:v>0.609960552268245</c:v>
                </c:pt>
                <c:pt idx="2">
                  <c:v>0.599886813808715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'Raw Data'!K4</c:f>
              <c:strCache>
                <c:ptCount val="1"/>
                <c:pt idx="0">
                  <c:v>Overall CVR %</c:v>
                </c:pt>
              </c:strCache>
            </c:strRef>
          </c:tx>
          <c:spPr>
            <a:solidFill>
              <a:srgbClr val="e65100"/>
            </a:solidFill>
            <a:ln w="21960">
              <a:solidFill>
                <a:srgbClr val="e65100"/>
              </a:solidFill>
              <a:round/>
            </a:ln>
          </c:spPr>
          <c:marker>
            <c:symbol val="diamond"/>
            <c:size val="5"/>
            <c:spPr>
              <a:solidFill>
                <a:srgbClr val="e651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'Raw Data'!$K$5:$K$16</c:f>
              <c:numCache>
                <c:formatCode>0.00%</c:formatCode>
                <c:ptCount val="12"/>
                <c:pt idx="0">
                  <c:v>0.063</c:v>
                </c:pt>
                <c:pt idx="1">
                  <c:v>0.0660992366412214</c:v>
                </c:pt>
                <c:pt idx="2">
                  <c:v>0.0628813559322034</c:v>
                </c:pt>
                <c:pt idx="3">
                  <c:v>0.0662535211267606</c:v>
                </c:pt>
                <c:pt idx="4">
                  <c:v>0.0694193548387097</c:v>
                </c:pt>
                <c:pt idx="5">
                  <c:v>0.0709761904761905</c:v>
                </c:pt>
                <c:pt idx="6">
                  <c:v>0.0730581395348837</c:v>
                </c:pt>
                <c:pt idx="7">
                  <c:v>0.072888198757764</c:v>
                </c:pt>
                <c:pt idx="8">
                  <c:v>0.0731910112359551</c:v>
                </c:pt>
                <c:pt idx="9">
                  <c:v>0.0746307692307692</c:v>
                </c:pt>
                <c:pt idx="10">
                  <c:v>0.0831818181818182</c:v>
                </c:pt>
                <c:pt idx="11">
                  <c:v>0.10009756097561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0811041"/>
        <c:axId val="78942785"/>
      </c:lineChart>
      <c:catAx>
        <c:axId val="508110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42785"/>
        <c:crosses val="autoZero"/>
        <c:auto val="1"/>
        <c:lblAlgn val="ctr"/>
        <c:lblOffset val="100"/>
        <c:noMultiLvlLbl val="0"/>
      </c:catAx>
      <c:valAx>
        <c:axId val="789427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8110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10</xdr:col>
      <xdr:colOff>125280</xdr:colOff>
      <xdr:row>27</xdr:row>
      <xdr:rowOff>149760</xdr:rowOff>
    </xdr:to>
    <xdr:graphicFrame>
      <xdr:nvGraphicFramePr>
        <xdr:cNvPr id="0" name="Chart 1"/>
        <xdr:cNvGraphicFramePr/>
      </xdr:nvGraphicFramePr>
      <xdr:xfrm>
        <a:off x="0" y="211464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7</xdr:row>
      <xdr:rowOff>0</xdr:rowOff>
    </xdr:from>
    <xdr:to>
      <xdr:col>19</xdr:col>
      <xdr:colOff>113040</xdr:colOff>
      <xdr:row>27</xdr:row>
      <xdr:rowOff>149760</xdr:rowOff>
    </xdr:to>
    <xdr:graphicFrame>
      <xdr:nvGraphicFramePr>
        <xdr:cNvPr id="1" name="Chart 2"/>
        <xdr:cNvGraphicFramePr/>
      </xdr:nvGraphicFramePr>
      <xdr:xfrm>
        <a:off x="5394960" y="211464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20</xdr:col>
      <xdr:colOff>586800</xdr:colOff>
      <xdr:row>41</xdr:row>
      <xdr:rowOff>149760</xdr:rowOff>
    </xdr:to>
    <xdr:graphicFrame>
      <xdr:nvGraphicFramePr>
        <xdr:cNvPr id="2" name="Chart 3"/>
        <xdr:cNvGraphicFramePr/>
      </xdr:nvGraphicFramePr>
      <xdr:xfrm>
        <a:off x="0" y="4781520"/>
        <a:ext cx="125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5" min="3" style="0" width="13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7"/>
    <col collapsed="false" customWidth="true" hidden="false" outlineLevel="0" max="11" min="11" style="0" width="14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15" hidden="false" customHeight="false" outlineLevel="0" collapsed="false">
      <c r="A5" s="5" t="s">
        <v>13</v>
      </c>
      <c r="B5" s="6" t="n">
        <v>124000</v>
      </c>
      <c r="C5" s="6" t="n">
        <v>98000</v>
      </c>
      <c r="D5" s="6" t="n">
        <v>18600</v>
      </c>
      <c r="E5" s="6" t="n">
        <v>11160</v>
      </c>
      <c r="F5" s="6" t="n">
        <v>7812</v>
      </c>
      <c r="G5" s="7" t="n">
        <v>312480</v>
      </c>
      <c r="H5" s="8" t="n">
        <f aca="false">IFERROR(G5/F5,0)</f>
        <v>40</v>
      </c>
      <c r="I5" s="9" t="n">
        <f aca="false">IFERROR(D5/C5,0)</f>
        <v>0.189795918367347</v>
      </c>
      <c r="J5" s="10" t="n">
        <f aca="false">IFERROR(E5/D5,0)</f>
        <v>0.6</v>
      </c>
      <c r="K5" s="11" t="n">
        <f aca="false">IFERROR(F5/B5,0)</f>
        <v>0.063</v>
      </c>
    </row>
    <row r="6" customFormat="false" ht="15" hidden="false" customHeight="false" outlineLevel="0" collapsed="false">
      <c r="A6" s="12" t="s">
        <v>14</v>
      </c>
      <c r="B6" s="13" t="n">
        <v>131000</v>
      </c>
      <c r="C6" s="13" t="n">
        <v>104000</v>
      </c>
      <c r="D6" s="13" t="n">
        <v>20280</v>
      </c>
      <c r="E6" s="13" t="n">
        <v>12370</v>
      </c>
      <c r="F6" s="13" t="n">
        <v>8659</v>
      </c>
      <c r="G6" s="14" t="n">
        <v>346360</v>
      </c>
      <c r="H6" s="15" t="n">
        <f aca="false">IFERROR(G6/F6,0)</f>
        <v>40</v>
      </c>
      <c r="I6" s="16" t="n">
        <f aca="false">IFERROR(D6/C6,0)</f>
        <v>0.195</v>
      </c>
      <c r="J6" s="17" t="n">
        <f aca="false">IFERROR(E6/D6,0)</f>
        <v>0.609960552268245</v>
      </c>
      <c r="K6" s="18" t="n">
        <f aca="false">IFERROR(F6/B6,0)</f>
        <v>0.0660992366412214</v>
      </c>
    </row>
    <row r="7" customFormat="false" ht="15" hidden="false" customHeight="false" outlineLevel="0" collapsed="false">
      <c r="A7" s="5" t="s">
        <v>15</v>
      </c>
      <c r="B7" s="6" t="n">
        <v>118000</v>
      </c>
      <c r="C7" s="6" t="n">
        <v>93000</v>
      </c>
      <c r="D7" s="6" t="n">
        <v>17670</v>
      </c>
      <c r="E7" s="6" t="n">
        <v>10600</v>
      </c>
      <c r="F7" s="6" t="n">
        <v>7420</v>
      </c>
      <c r="G7" s="7" t="n">
        <v>296800</v>
      </c>
      <c r="H7" s="8" t="n">
        <f aca="false">IFERROR(G7/F7,0)</f>
        <v>40</v>
      </c>
      <c r="I7" s="9" t="n">
        <f aca="false">IFERROR(D7/C7,0)</f>
        <v>0.19</v>
      </c>
      <c r="J7" s="10" t="n">
        <f aca="false">IFERROR(E7/D7,0)</f>
        <v>0.599886813808715</v>
      </c>
      <c r="K7" s="11" t="n">
        <f aca="false">IFERROR(F7/B7,0)</f>
        <v>0.0628813559322034</v>
      </c>
    </row>
    <row r="8" customFormat="false" ht="15" hidden="false" customHeight="false" outlineLevel="0" collapsed="false">
      <c r="A8" s="12" t="s">
        <v>16</v>
      </c>
      <c r="B8" s="13" t="n">
        <v>142000</v>
      </c>
      <c r="C8" s="13" t="n">
        <v>112000</v>
      </c>
      <c r="D8" s="13" t="n">
        <v>22400</v>
      </c>
      <c r="E8" s="13" t="n">
        <v>13440</v>
      </c>
      <c r="F8" s="13" t="n">
        <v>9408</v>
      </c>
      <c r="G8" s="14" t="n">
        <v>376320</v>
      </c>
      <c r="H8" s="15" t="n">
        <f aca="false">IFERROR(G8/F8,0)</f>
        <v>40</v>
      </c>
      <c r="I8" s="16" t="n">
        <f aca="false">IFERROR(D8/C8,0)</f>
        <v>0.2</v>
      </c>
      <c r="J8" s="17" t="n">
        <f aca="false">IFERROR(E8/D8,0)</f>
        <v>0.6</v>
      </c>
      <c r="K8" s="18" t="n">
        <f aca="false">IFERROR(F8/B8,0)</f>
        <v>0.0662535211267606</v>
      </c>
    </row>
    <row r="9" customFormat="false" ht="15" hidden="false" customHeight="false" outlineLevel="0" collapsed="false">
      <c r="A9" s="5" t="s">
        <v>17</v>
      </c>
      <c r="B9" s="6" t="n">
        <v>155000</v>
      </c>
      <c r="C9" s="6" t="n">
        <v>122000</v>
      </c>
      <c r="D9" s="6" t="n">
        <v>25620</v>
      </c>
      <c r="E9" s="6" t="n">
        <v>15372</v>
      </c>
      <c r="F9" s="6" t="n">
        <v>10760</v>
      </c>
      <c r="G9" s="7" t="n">
        <v>430400</v>
      </c>
      <c r="H9" s="8" t="n">
        <f aca="false">IFERROR(G9/F9,0)</f>
        <v>40</v>
      </c>
      <c r="I9" s="9" t="n">
        <f aca="false">IFERROR(D9/C9,0)</f>
        <v>0.21</v>
      </c>
      <c r="J9" s="10" t="n">
        <f aca="false">IFERROR(E9/D9,0)</f>
        <v>0.6</v>
      </c>
      <c r="K9" s="11" t="n">
        <f aca="false">IFERROR(F9/B9,0)</f>
        <v>0.0694193548387097</v>
      </c>
    </row>
    <row r="10" customFormat="false" ht="15" hidden="false" customHeight="false" outlineLevel="0" collapsed="false">
      <c r="A10" s="12" t="s">
        <v>18</v>
      </c>
      <c r="B10" s="13" t="n">
        <v>168000</v>
      </c>
      <c r="C10" s="13" t="n">
        <v>133000</v>
      </c>
      <c r="D10" s="13" t="n">
        <v>28390</v>
      </c>
      <c r="E10" s="13" t="n">
        <v>17034</v>
      </c>
      <c r="F10" s="13" t="n">
        <v>11924</v>
      </c>
      <c r="G10" s="14" t="n">
        <v>476960</v>
      </c>
      <c r="H10" s="15" t="n">
        <f aca="false">IFERROR(G10/F10,0)</f>
        <v>40</v>
      </c>
      <c r="I10" s="16" t="n">
        <f aca="false">IFERROR(D10/C10,0)</f>
        <v>0.213458646616541</v>
      </c>
      <c r="J10" s="17" t="n">
        <f aca="false">IFERROR(E10/D10,0)</f>
        <v>0.6</v>
      </c>
      <c r="K10" s="18" t="n">
        <f aca="false">IFERROR(F10/B10,0)</f>
        <v>0.0709761904761905</v>
      </c>
    </row>
    <row r="11" customFormat="false" ht="15" hidden="false" customHeight="false" outlineLevel="0" collapsed="false">
      <c r="A11" s="5" t="s">
        <v>19</v>
      </c>
      <c r="B11" s="6" t="n">
        <v>172000</v>
      </c>
      <c r="C11" s="6" t="n">
        <v>136000</v>
      </c>
      <c r="D11" s="6" t="n">
        <v>29920</v>
      </c>
      <c r="E11" s="6" t="n">
        <v>17952</v>
      </c>
      <c r="F11" s="6" t="n">
        <v>12566</v>
      </c>
      <c r="G11" s="7" t="n">
        <v>502640</v>
      </c>
      <c r="H11" s="8" t="n">
        <f aca="false">IFERROR(G11/F11,0)</f>
        <v>40</v>
      </c>
      <c r="I11" s="9" t="n">
        <f aca="false">IFERROR(D11/C11,0)</f>
        <v>0.22</v>
      </c>
      <c r="J11" s="10" t="n">
        <f aca="false">IFERROR(E11/D11,0)</f>
        <v>0.6</v>
      </c>
      <c r="K11" s="11" t="n">
        <f aca="false">IFERROR(F11/B11,0)</f>
        <v>0.0730581395348837</v>
      </c>
    </row>
    <row r="12" customFormat="false" ht="15" hidden="false" customHeight="false" outlineLevel="0" collapsed="false">
      <c r="A12" s="12" t="s">
        <v>20</v>
      </c>
      <c r="B12" s="13" t="n">
        <v>161000</v>
      </c>
      <c r="C12" s="13" t="n">
        <v>127000</v>
      </c>
      <c r="D12" s="13" t="n">
        <v>27940</v>
      </c>
      <c r="E12" s="13" t="n">
        <v>16764</v>
      </c>
      <c r="F12" s="13" t="n">
        <v>11735</v>
      </c>
      <c r="G12" s="14" t="n">
        <v>469400</v>
      </c>
      <c r="H12" s="15" t="n">
        <f aca="false">IFERROR(G12/F12,0)</f>
        <v>40</v>
      </c>
      <c r="I12" s="16" t="n">
        <f aca="false">IFERROR(D12/C12,0)</f>
        <v>0.22</v>
      </c>
      <c r="J12" s="17" t="n">
        <f aca="false">IFERROR(E12/D12,0)</f>
        <v>0.6</v>
      </c>
      <c r="K12" s="18" t="n">
        <f aca="false">IFERROR(F12/B12,0)</f>
        <v>0.072888198757764</v>
      </c>
    </row>
    <row r="13" customFormat="false" ht="15" hidden="false" customHeight="false" outlineLevel="0" collapsed="false">
      <c r="A13" s="5" t="s">
        <v>21</v>
      </c>
      <c r="B13" s="6" t="n">
        <v>178000</v>
      </c>
      <c r="C13" s="6" t="n">
        <v>141000</v>
      </c>
      <c r="D13" s="6" t="n">
        <v>31020</v>
      </c>
      <c r="E13" s="6" t="n">
        <v>18612</v>
      </c>
      <c r="F13" s="6" t="n">
        <v>13028</v>
      </c>
      <c r="G13" s="7" t="n">
        <v>521120</v>
      </c>
      <c r="H13" s="8" t="n">
        <f aca="false">IFERROR(G13/F13,0)</f>
        <v>40</v>
      </c>
      <c r="I13" s="9" t="n">
        <f aca="false">IFERROR(D13/C13,0)</f>
        <v>0.22</v>
      </c>
      <c r="J13" s="10" t="n">
        <f aca="false">IFERROR(E13/D13,0)</f>
        <v>0.6</v>
      </c>
      <c r="K13" s="11" t="n">
        <f aca="false">IFERROR(F13/B13,0)</f>
        <v>0.0731910112359551</v>
      </c>
    </row>
    <row r="14" customFormat="false" ht="15" hidden="false" customHeight="false" outlineLevel="0" collapsed="false">
      <c r="A14" s="12" t="s">
        <v>22</v>
      </c>
      <c r="B14" s="13" t="n">
        <v>195000</v>
      </c>
      <c r="C14" s="13" t="n">
        <v>154000</v>
      </c>
      <c r="D14" s="13" t="n">
        <v>34650</v>
      </c>
      <c r="E14" s="13" t="n">
        <v>20790</v>
      </c>
      <c r="F14" s="13" t="n">
        <v>14553</v>
      </c>
      <c r="G14" s="14" t="n">
        <v>582120</v>
      </c>
      <c r="H14" s="15" t="n">
        <f aca="false">IFERROR(G14/F14,0)</f>
        <v>40</v>
      </c>
      <c r="I14" s="16" t="n">
        <f aca="false">IFERROR(D14/C14,0)</f>
        <v>0.225</v>
      </c>
      <c r="J14" s="17" t="n">
        <f aca="false">IFERROR(E14/D14,0)</f>
        <v>0.6</v>
      </c>
      <c r="K14" s="18" t="n">
        <f aca="false">IFERROR(F14/B14,0)</f>
        <v>0.0746307692307692</v>
      </c>
    </row>
    <row r="15" customFormat="false" ht="15" hidden="false" customHeight="false" outlineLevel="0" collapsed="false">
      <c r="A15" s="5" t="s">
        <v>23</v>
      </c>
      <c r="B15" s="6" t="n">
        <v>231000</v>
      </c>
      <c r="C15" s="6" t="n">
        <v>183000</v>
      </c>
      <c r="D15" s="6" t="n">
        <v>45750</v>
      </c>
      <c r="E15" s="6" t="n">
        <v>27450</v>
      </c>
      <c r="F15" s="6" t="n">
        <v>19215</v>
      </c>
      <c r="G15" s="7" t="n">
        <v>768600</v>
      </c>
      <c r="H15" s="8" t="n">
        <f aca="false">IFERROR(G15/F15,0)</f>
        <v>40</v>
      </c>
      <c r="I15" s="9" t="n">
        <f aca="false">IFERROR(D15/C15,0)</f>
        <v>0.25</v>
      </c>
      <c r="J15" s="10" t="n">
        <f aca="false">IFERROR(E15/D15,0)</f>
        <v>0.6</v>
      </c>
      <c r="K15" s="11" t="n">
        <f aca="false">IFERROR(F15/B15,0)</f>
        <v>0.0831818181818182</v>
      </c>
    </row>
    <row r="16" customFormat="false" ht="15" hidden="false" customHeight="false" outlineLevel="0" collapsed="false">
      <c r="A16" s="12" t="s">
        <v>24</v>
      </c>
      <c r="B16" s="13" t="n">
        <v>287000</v>
      </c>
      <c r="C16" s="13" t="n">
        <v>228000</v>
      </c>
      <c r="D16" s="13" t="n">
        <v>68400</v>
      </c>
      <c r="E16" s="13" t="n">
        <v>41040</v>
      </c>
      <c r="F16" s="13" t="n">
        <v>28728</v>
      </c>
      <c r="G16" s="14" t="n">
        <v>1149120</v>
      </c>
      <c r="H16" s="15" t="n">
        <f aca="false">IFERROR(G16/F16,0)</f>
        <v>40</v>
      </c>
      <c r="I16" s="16" t="n">
        <f aca="false">IFERROR(D16/C16,0)</f>
        <v>0.3</v>
      </c>
      <c r="J16" s="17" t="n">
        <f aca="false">IFERROR(E16/D16,0)</f>
        <v>0.6</v>
      </c>
      <c r="K16" s="18" t="n">
        <f aca="false">IFERROR(F16/B16,0)</f>
        <v>0.10009756097561</v>
      </c>
    </row>
    <row r="17" customFormat="false" ht="25.5" hidden="false" customHeight="true" outlineLevel="0" collapsed="false">
      <c r="A17" s="19" t="s">
        <v>25</v>
      </c>
      <c r="B17" s="20" t="n">
        <f aca="false">SUM(B5:B16)</f>
        <v>2062000</v>
      </c>
      <c r="C17" s="20" t="n">
        <f aca="false">SUM(C5:C16)</f>
        <v>1631000</v>
      </c>
      <c r="D17" s="20" t="n">
        <f aca="false">SUM(D5:D16)</f>
        <v>370640</v>
      </c>
      <c r="E17" s="20" t="n">
        <f aca="false">SUM(E5:E16)</f>
        <v>222584</v>
      </c>
      <c r="F17" s="20" t="n">
        <f aca="false">SUM(F5:F16)</f>
        <v>155808</v>
      </c>
      <c r="G17" s="21" t="n">
        <f aca="false">SUM(G5:G16)</f>
        <v>6232320</v>
      </c>
      <c r="H17" s="22" t="n">
        <f aca="false">IFERROR(G17/F17,0)</f>
        <v>40</v>
      </c>
      <c r="I17" s="23" t="n">
        <f aca="false">IFERROR(AVERAGE(I5:I16),0)</f>
        <v>0.219437880415324</v>
      </c>
      <c r="J17" s="23" t="n">
        <f aca="false">IFERROR(AVERAGE(J5:J16),0)</f>
        <v>0.600820613839747</v>
      </c>
      <c r="K17" s="23" t="n">
        <f aca="false">IFERROR(F17/B17,0)</f>
        <v>0.0755615906886518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8.5"/>
  </cols>
  <sheetData>
    <row r="1" customFormat="false" ht="51.75" hidden="false" customHeight="true" outlineLevel="0" collapsed="false">
      <c r="A1" s="24" t="s">
        <v>26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customFormat="false" ht="19.5" hidden="false" customHeight="tru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1.75" hidden="false" customHeight="true" outlineLevel="0" collapsed="false">
      <c r="A4" s="25" t="s">
        <v>3</v>
      </c>
      <c r="B4" s="25"/>
      <c r="C4" s="25"/>
      <c r="D4" s="26" t="s">
        <v>28</v>
      </c>
      <c r="E4" s="26"/>
      <c r="F4" s="26"/>
      <c r="G4" s="27" t="s">
        <v>29</v>
      </c>
      <c r="H4" s="27"/>
      <c r="I4" s="27"/>
      <c r="J4" s="28" t="s">
        <v>9</v>
      </c>
      <c r="K4" s="28"/>
      <c r="L4" s="28"/>
      <c r="M4" s="29" t="s">
        <v>30</v>
      </c>
      <c r="N4" s="29"/>
      <c r="O4" s="29"/>
    </row>
    <row r="5" customFormat="false" ht="36" hidden="false" customHeight="true" outlineLevel="0" collapsed="false">
      <c r="A5" s="30" t="n">
        <f aca="false">'Raw Data'!B17</f>
        <v>2062000</v>
      </c>
      <c r="B5" s="30"/>
      <c r="C5" s="30"/>
      <c r="D5" s="31" t="n">
        <f aca="false">'Raw Data'!F17</f>
        <v>155808</v>
      </c>
      <c r="E5" s="31"/>
      <c r="F5" s="31"/>
      <c r="G5" s="32" t="n">
        <f aca="false">'Raw Data'!G17</f>
        <v>6232320</v>
      </c>
      <c r="H5" s="32"/>
      <c r="I5" s="32"/>
      <c r="J5" s="33" t="n">
        <f aca="false">'Raw Data'!H17</f>
        <v>40</v>
      </c>
      <c r="K5" s="33"/>
      <c r="L5" s="33"/>
      <c r="M5" s="34" t="n">
        <f aca="false">'Raw Data'!K17</f>
        <v>0.0755615906886518</v>
      </c>
      <c r="N5" s="34"/>
      <c r="O5" s="34"/>
    </row>
    <row r="6" customFormat="false" ht="7.5" hidden="false" customHeight="true" outlineLevel="0" collapsed="false">
      <c r="A6" s="30"/>
      <c r="B6" s="30"/>
      <c r="C6" s="30"/>
      <c r="D6" s="31"/>
      <c r="E6" s="31"/>
      <c r="F6" s="31"/>
      <c r="G6" s="32"/>
      <c r="H6" s="32"/>
      <c r="I6" s="32"/>
      <c r="J6" s="33"/>
      <c r="K6" s="33"/>
      <c r="L6" s="33"/>
      <c r="M6" s="34"/>
      <c r="N6" s="34"/>
      <c r="O6" s="34"/>
    </row>
  </sheetData>
  <mergeCells count="12">
    <mergeCell ref="A1:R1"/>
    <mergeCell ref="A2:R2"/>
    <mergeCell ref="A4:C4"/>
    <mergeCell ref="D4:F4"/>
    <mergeCell ref="G4:I4"/>
    <mergeCell ref="J4:L4"/>
    <mergeCell ref="M4:O4"/>
    <mergeCell ref="A5:C6"/>
    <mergeCell ref="D5:F6"/>
    <mergeCell ref="G5:I6"/>
    <mergeCell ref="J5:L6"/>
    <mergeCell ref="M5:O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7" min="4" style="0" width="14"/>
  </cols>
  <sheetData>
    <row r="1" customFormat="false" ht="37.5" hidden="false" customHeight="true" outlineLevel="0" collapsed="false">
      <c r="A1" s="35" t="s">
        <v>31</v>
      </c>
      <c r="B1" s="35"/>
      <c r="C1" s="35"/>
      <c r="D1" s="35"/>
      <c r="E1" s="35"/>
      <c r="F1" s="35"/>
      <c r="G1" s="35"/>
    </row>
    <row r="2" customFormat="false" ht="18" hidden="false" customHeight="true" outlineLevel="0" collapsed="false">
      <c r="A2" s="2" t="s">
        <v>32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</row>
    <row r="5" customFormat="false" ht="15" hidden="false" customHeight="false" outlineLevel="0" collapsed="false">
      <c r="A5" s="36" t="s">
        <v>3</v>
      </c>
      <c r="B5" s="37" t="n">
        <f aca="false">'Raw Data'!B17/12</f>
        <v>171833.333333333</v>
      </c>
      <c r="C5" s="38" t="s">
        <v>40</v>
      </c>
      <c r="D5" s="38" t="s">
        <v>40</v>
      </c>
      <c r="E5" s="38" t="s">
        <v>40</v>
      </c>
      <c r="F5" s="39" t="s">
        <v>41</v>
      </c>
      <c r="G5" s="38" t="s">
        <v>42</v>
      </c>
    </row>
    <row r="6" customFormat="false" ht="15" hidden="false" customHeight="false" outlineLevel="0" collapsed="false">
      <c r="A6" s="40" t="s">
        <v>4</v>
      </c>
      <c r="B6" s="41" t="n">
        <f aca="false">'Raw Data'!C17/12</f>
        <v>135916.666666667</v>
      </c>
      <c r="C6" s="42" t="n">
        <f aca="false">B5-B6</f>
        <v>35916.6666666667</v>
      </c>
      <c r="D6" s="43" t="n">
        <f aca="false">IFERROR(C6/B5,0)</f>
        <v>0.2090203685742</v>
      </c>
      <c r="E6" s="44" t="n">
        <f aca="false">1-D6</f>
        <v>0.7909796314258</v>
      </c>
      <c r="F6" s="45" t="s">
        <v>43</v>
      </c>
      <c r="G6" s="12" t="str">
        <f aca="false">IF(E6&gt;=0.97,"✅ On Track","⚠️ Needs Work")</f>
        <v>⚠️ Needs Work</v>
      </c>
    </row>
    <row r="7" customFormat="false" ht="15" hidden="false" customHeight="false" outlineLevel="0" collapsed="false">
      <c r="A7" s="36" t="s">
        <v>5</v>
      </c>
      <c r="B7" s="37" t="n">
        <f aca="false">'Raw Data'!D17/12</f>
        <v>30886.6666666667</v>
      </c>
      <c r="C7" s="46" t="n">
        <f aca="false">B6-B7</f>
        <v>105030</v>
      </c>
      <c r="D7" s="47" t="n">
        <f aca="false">IFERROR(C7/B5,0)</f>
        <v>0.611231813773036</v>
      </c>
      <c r="E7" s="48" t="n">
        <f aca="false">1-D7</f>
        <v>0.388768186226964</v>
      </c>
      <c r="F7" s="39" t="s">
        <v>44</v>
      </c>
      <c r="G7" s="5" t="str">
        <f aca="false">IF(E7&gt;=0.25,"✅ On Track","⚠️ Needs Work")</f>
        <v>✅ On Track</v>
      </c>
    </row>
    <row r="8" customFormat="false" ht="15" hidden="false" customHeight="false" outlineLevel="0" collapsed="false">
      <c r="A8" s="40" t="s">
        <v>45</v>
      </c>
      <c r="B8" s="41" t="n">
        <f aca="false">'Raw Data'!E17/12</f>
        <v>18548.6666666667</v>
      </c>
      <c r="C8" s="42" t="n">
        <f aca="false">B7-B8</f>
        <v>12338</v>
      </c>
      <c r="D8" s="43" t="n">
        <f aca="false">IFERROR(C8/B5,0)</f>
        <v>0.0718021338506305</v>
      </c>
      <c r="E8" s="44" t="n">
        <f aca="false">1-D8</f>
        <v>0.92819786614937</v>
      </c>
      <c r="F8" s="45" t="s">
        <v>46</v>
      </c>
      <c r="G8" s="12" t="str">
        <f aca="false">IF(E8&gt;=0.13,"✅ On Track","⚠️ Needs Work")</f>
        <v>✅ On Track</v>
      </c>
    </row>
    <row r="9" customFormat="false" ht="15" hidden="false" customHeight="false" outlineLevel="0" collapsed="false">
      <c r="A9" s="36" t="s">
        <v>7</v>
      </c>
      <c r="B9" s="37" t="n">
        <f aca="false">'Raw Data'!F17/12</f>
        <v>12984</v>
      </c>
      <c r="C9" s="46" t="n">
        <f aca="false">B8-B9</f>
        <v>5564.66666666667</v>
      </c>
      <c r="D9" s="47" t="n">
        <f aca="false">IFERROR(C9/B5,0)</f>
        <v>0.0323840931134821</v>
      </c>
      <c r="E9" s="48" t="n">
        <f aca="false">1-D9</f>
        <v>0.967615906886518</v>
      </c>
      <c r="F9" s="39" t="s">
        <v>47</v>
      </c>
      <c r="G9" s="5" t="str">
        <f aca="false">IF(E9&gt;=0.055,"✅ On Track","⚠️ Needs Work")</f>
        <v>✅ On Track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6"/>
  </cols>
  <sheetData>
    <row r="1" customFormat="false" ht="37.5" hidden="false" customHeight="true" outlineLevel="0" collapsed="false">
      <c r="A1" s="35" t="s">
        <v>48</v>
      </c>
      <c r="B1" s="35"/>
      <c r="C1" s="35"/>
      <c r="D1" s="35"/>
      <c r="E1" s="35"/>
      <c r="F1" s="35"/>
      <c r="G1" s="35"/>
      <c r="H1" s="35"/>
    </row>
    <row r="2" customFormat="false" ht="18" hidden="false" customHeight="true" outlineLevel="0" collapsed="false">
      <c r="A2" s="2" t="s">
        <v>49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50</v>
      </c>
      <c r="B4" s="4" t="s">
        <v>51</v>
      </c>
      <c r="C4" s="4" t="s">
        <v>4</v>
      </c>
      <c r="D4" s="4" t="s">
        <v>7</v>
      </c>
      <c r="E4" s="4" t="s">
        <v>8</v>
      </c>
      <c r="F4" s="4" t="s">
        <v>52</v>
      </c>
      <c r="G4" s="4" t="s">
        <v>53</v>
      </c>
      <c r="H4" s="4" t="s">
        <v>54</v>
      </c>
    </row>
    <row r="5" customFormat="false" ht="15" hidden="false" customHeight="false" outlineLevel="0" collapsed="false">
      <c r="A5" s="36" t="s">
        <v>55</v>
      </c>
      <c r="B5" s="6" t="n">
        <v>412000</v>
      </c>
      <c r="C5" s="6" t="n">
        <v>326000</v>
      </c>
      <c r="D5" s="6" t="n">
        <v>43200</v>
      </c>
      <c r="E5" s="7" t="n">
        <v>1728000</v>
      </c>
      <c r="F5" s="11" t="n">
        <f aca="false">IFERROR(D5/B5,0)</f>
        <v>0.104854368932039</v>
      </c>
      <c r="G5" s="49" t="n">
        <f aca="false">IFERROR(E5/D5,0)</f>
        <v>40</v>
      </c>
      <c r="H5" s="50" t="n">
        <f aca="false">IFERROR(E5/SUM($E$5:$E$11),0)</f>
        <v>0.308734065266524</v>
      </c>
    </row>
    <row r="6" customFormat="false" ht="15" hidden="false" customHeight="false" outlineLevel="0" collapsed="false">
      <c r="A6" s="40" t="s">
        <v>56</v>
      </c>
      <c r="B6" s="13" t="n">
        <v>298000</v>
      </c>
      <c r="C6" s="13" t="n">
        <v>238000</v>
      </c>
      <c r="D6" s="13" t="n">
        <v>35700</v>
      </c>
      <c r="E6" s="14" t="n">
        <v>1428000</v>
      </c>
      <c r="F6" s="18" t="n">
        <f aca="false">IFERROR(D6/B6,0)</f>
        <v>0.119798657718121</v>
      </c>
      <c r="G6" s="51" t="n">
        <f aca="false">IFERROR(E6/D6,0)</f>
        <v>40</v>
      </c>
      <c r="H6" s="52" t="n">
        <f aca="false">IFERROR(E6/SUM($E$5:$E$11),0)</f>
        <v>0.255134401157753</v>
      </c>
    </row>
    <row r="7" customFormat="false" ht="15" hidden="false" customHeight="false" outlineLevel="0" collapsed="false">
      <c r="A7" s="36" t="s">
        <v>57</v>
      </c>
      <c r="B7" s="6" t="n">
        <v>187000</v>
      </c>
      <c r="C7" s="6" t="n">
        <v>165000</v>
      </c>
      <c r="D7" s="6" t="n">
        <v>28500</v>
      </c>
      <c r="E7" s="7" t="n">
        <v>999750</v>
      </c>
      <c r="F7" s="11" t="n">
        <f aca="false">IFERROR(D7/B7,0)</f>
        <v>0.152406417112299</v>
      </c>
      <c r="G7" s="49" t="n">
        <f aca="false">IFERROR(E7/D7,0)</f>
        <v>35.0789473684211</v>
      </c>
      <c r="H7" s="50" t="n">
        <f aca="false">IFERROR(E7/SUM($E$5:$E$11),0)</f>
        <v>0.178620880642481</v>
      </c>
    </row>
    <row r="8" customFormat="false" ht="15" hidden="false" customHeight="false" outlineLevel="0" collapsed="false">
      <c r="A8" s="40" t="s">
        <v>58</v>
      </c>
      <c r="B8" s="13" t="n">
        <v>156000</v>
      </c>
      <c r="C8" s="13" t="n">
        <v>132000</v>
      </c>
      <c r="D8" s="13" t="n">
        <v>18720</v>
      </c>
      <c r="E8" s="14" t="n">
        <v>624000</v>
      </c>
      <c r="F8" s="18" t="n">
        <f aca="false">IFERROR(D8/B8,0)</f>
        <v>0.12</v>
      </c>
      <c r="G8" s="51" t="n">
        <f aca="false">IFERROR(E8/D8,0)</f>
        <v>33.3333333333333</v>
      </c>
      <c r="H8" s="52" t="n">
        <f aca="false">IFERROR(E8/SUM($E$5:$E$11),0)</f>
        <v>0.111487301346245</v>
      </c>
    </row>
    <row r="9" customFormat="false" ht="15" hidden="false" customHeight="false" outlineLevel="0" collapsed="false">
      <c r="A9" s="36" t="s">
        <v>59</v>
      </c>
      <c r="B9" s="6" t="n">
        <v>213000</v>
      </c>
      <c r="C9" s="6" t="n">
        <v>178000</v>
      </c>
      <c r="D9" s="6" t="n">
        <v>14910</v>
      </c>
      <c r="E9" s="7" t="n">
        <v>447300</v>
      </c>
      <c r="F9" s="11" t="n">
        <f aca="false">IFERROR(D9/B9,0)</f>
        <v>0.07</v>
      </c>
      <c r="G9" s="49" t="n">
        <f aca="false">IFERROR(E9/D9,0)</f>
        <v>30</v>
      </c>
      <c r="H9" s="50" t="n">
        <f aca="false">IFERROR(E9/SUM($E$5:$E$11),0)</f>
        <v>0.0799170991861784</v>
      </c>
    </row>
    <row r="10" customFormat="false" ht="15" hidden="false" customHeight="false" outlineLevel="0" collapsed="false">
      <c r="A10" s="40" t="s">
        <v>60</v>
      </c>
      <c r="B10" s="13" t="n">
        <v>76000</v>
      </c>
      <c r="C10" s="13" t="n">
        <v>64000</v>
      </c>
      <c r="D10" s="13" t="n">
        <v>7600</v>
      </c>
      <c r="E10" s="14" t="n">
        <v>228000</v>
      </c>
      <c r="F10" s="18" t="n">
        <f aca="false">IFERROR(D10/B10,0)</f>
        <v>0.1</v>
      </c>
      <c r="G10" s="51" t="n">
        <f aca="false">IFERROR(E10/D10,0)</f>
        <v>30</v>
      </c>
      <c r="H10" s="52" t="n">
        <f aca="false">IFERROR(E10/SUM($E$5:$E$11),0)</f>
        <v>0.0407357447226664</v>
      </c>
    </row>
    <row r="11" customFormat="false" ht="15" hidden="false" customHeight="false" outlineLevel="0" collapsed="false">
      <c r="A11" s="36" t="s">
        <v>61</v>
      </c>
      <c r="B11" s="6" t="n">
        <v>142000</v>
      </c>
      <c r="C11" s="6" t="n">
        <v>118000</v>
      </c>
      <c r="D11" s="6" t="n">
        <v>5680</v>
      </c>
      <c r="E11" s="7" t="n">
        <v>142000</v>
      </c>
      <c r="F11" s="11" t="n">
        <f aca="false">IFERROR(D11/B11,0)</f>
        <v>0.04</v>
      </c>
      <c r="G11" s="49" t="n">
        <f aca="false">IFERROR(E11/D11,0)</f>
        <v>25</v>
      </c>
      <c r="H11" s="50" t="n">
        <f aca="false">IFERROR(E11/SUM($E$5:$E$11),0)</f>
        <v>0.0253705076781519</v>
      </c>
    </row>
    <row r="12" customFormat="false" ht="15" hidden="false" customHeight="false" outlineLevel="0" collapsed="false">
      <c r="A12" s="53" t="s">
        <v>62</v>
      </c>
      <c r="B12" s="20" t="n">
        <f aca="false">SUM(B5:B11)</f>
        <v>1484000</v>
      </c>
      <c r="C12" s="20" t="n">
        <f aca="false">SUM(C5:C11)</f>
        <v>1221000</v>
      </c>
      <c r="D12" s="20" t="n">
        <f aca="false">SUM(D5:D11)</f>
        <v>154310</v>
      </c>
      <c r="E12" s="21" t="n">
        <f aca="false">SUM(E5:E11)</f>
        <v>5597050</v>
      </c>
      <c r="F12" s="54" t="n">
        <f aca="false">IFERROR(D12/B12,0)</f>
        <v>0.103982479784367</v>
      </c>
      <c r="G12" s="22" t="n">
        <f aca="false">IFERROR(E12/D12,0)</f>
        <v>36.2714665284168</v>
      </c>
      <c r="H12" s="55" t="s">
        <v>63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3"/>
  </cols>
  <sheetData>
    <row r="1" customFormat="false" ht="37.5" hidden="false" customHeight="true" outlineLevel="0" collapsed="false">
      <c r="A1" s="35" t="s">
        <v>64</v>
      </c>
      <c r="B1" s="35"/>
      <c r="C1" s="35"/>
      <c r="D1" s="35"/>
      <c r="E1" s="35"/>
      <c r="F1" s="35"/>
      <c r="G1" s="35"/>
      <c r="H1" s="35"/>
    </row>
    <row r="3" customFormat="false" ht="37.5" hidden="false" customHeight="true" outlineLevel="0" collapsed="false">
      <c r="A3" s="56" t="s">
        <v>65</v>
      </c>
      <c r="B3" s="57" t="s">
        <v>66</v>
      </c>
      <c r="C3" s="57"/>
      <c r="D3" s="57"/>
      <c r="E3" s="57"/>
      <c r="F3" s="57"/>
      <c r="G3" s="57"/>
      <c r="H3" s="57"/>
    </row>
    <row r="4" customFormat="false" ht="37.5" hidden="false" customHeight="true" outlineLevel="0" collapsed="false">
      <c r="A4" s="58" t="s">
        <v>67</v>
      </c>
      <c r="B4" s="59" t="s">
        <v>68</v>
      </c>
      <c r="C4" s="59"/>
      <c r="D4" s="59"/>
      <c r="E4" s="59"/>
      <c r="F4" s="59"/>
      <c r="G4" s="59"/>
      <c r="H4" s="59"/>
    </row>
    <row r="5" customFormat="false" ht="37.5" hidden="false" customHeight="true" outlineLevel="0" collapsed="false">
      <c r="A5" s="60" t="s">
        <v>69</v>
      </c>
      <c r="B5" s="57" t="s">
        <v>70</v>
      </c>
      <c r="C5" s="57"/>
      <c r="D5" s="57"/>
      <c r="E5" s="57"/>
      <c r="F5" s="57"/>
      <c r="G5" s="57"/>
      <c r="H5" s="57"/>
    </row>
    <row r="6" customFormat="false" ht="37.5" hidden="false" customHeight="true" outlineLevel="0" collapsed="false">
      <c r="A6" s="61" t="s">
        <v>71</v>
      </c>
      <c r="B6" s="59" t="s">
        <v>72</v>
      </c>
      <c r="C6" s="59"/>
      <c r="D6" s="59"/>
      <c r="E6" s="59"/>
      <c r="F6" s="59"/>
      <c r="G6" s="59"/>
      <c r="H6" s="59"/>
    </row>
    <row r="7" customFormat="false" ht="37.5" hidden="false" customHeight="true" outlineLevel="0" collapsed="false">
      <c r="A7" s="62" t="s">
        <v>73</v>
      </c>
      <c r="B7" s="57" t="s">
        <v>74</v>
      </c>
      <c r="C7" s="57"/>
      <c r="D7" s="57"/>
      <c r="E7" s="57"/>
      <c r="F7" s="57"/>
      <c r="G7" s="57"/>
      <c r="H7" s="57"/>
    </row>
    <row r="8" customFormat="false" ht="37.5" hidden="false" customHeight="true" outlineLevel="0" collapsed="false">
      <c r="A8" s="63" t="s">
        <v>75</v>
      </c>
      <c r="B8" s="59" t="s">
        <v>76</v>
      </c>
      <c r="C8" s="59"/>
      <c r="D8" s="59"/>
      <c r="E8" s="59"/>
      <c r="F8" s="59"/>
      <c r="G8" s="59"/>
      <c r="H8" s="59"/>
    </row>
    <row r="9" customFormat="false" ht="37.5" hidden="false" customHeight="true" outlineLevel="0" collapsed="false">
      <c r="A9" s="64" t="s">
        <v>77</v>
      </c>
      <c r="B9" s="57" t="s">
        <v>78</v>
      </c>
      <c r="C9" s="57"/>
      <c r="D9" s="57"/>
      <c r="E9" s="57"/>
      <c r="F9" s="57"/>
      <c r="G9" s="57"/>
      <c r="H9" s="57"/>
    </row>
  </sheetData>
  <mergeCells count="8">
    <mergeCell ref="A1:H1"/>
    <mergeCell ref="B3:H3"/>
    <mergeCell ref="B4:H4"/>
    <mergeCell ref="B5:H5"/>
    <mergeCell ref="B6:H6"/>
    <mergeCell ref="B7:H7"/>
    <mergeCell ref="B8:H8"/>
    <mergeCell ref="B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2026-06-05T11:25:19Z</dcterms:created>
  <dc:creator>openpyxl</dc:creator>
  <dc:description/>
  <dc:language>en-US</dc:language>
  <cp:lastModifiedBy/>
  <dcterms:modified xsi:type="dcterms:W3CDTF">2026-06-05T11:25:30Z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